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107" documentId="8_{291081BB-FC7D-42D9-BC49-11AB1D4F4278}" xr6:coauthVersionLast="47" xr6:coauthVersionMax="47" xr10:uidLastSave="{F306B39E-A22E-4AF7-9452-F1479CCE95E5}"/>
  <bookViews>
    <workbookView xWindow="240" yWindow="105" windowWidth="14805" windowHeight="8010" firstSheet="1" xr2:uid="{00000000-000D-0000-FFFF-FFFF00000000}"/>
  </bookViews>
  <sheets>
    <sheet name="Titular" sheetId="1" r:id="rId1"/>
    <sheet name="Informes" sheetId="4" r:id="rId2"/>
    <sheet name="Notas" sheetId="6" r:id="rId3"/>
    <sheet name="Bancos_Apoio" sheetId="5" state="hidden" r:id="rId4"/>
  </sheets>
  <definedNames>
    <definedName name="exemplo_tbl">#REF!</definedName>
    <definedName name="tbl_informes">Informes!$C$5:$D$24</definedName>
    <definedName name="tbl_notas">Notas!$C$5:$E$25</definedName>
    <definedName name="tbl_titular">Titular!$C$5:$E$18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C6" i="4"/>
  <c r="E14" i="1"/>
  <c r="E13" i="1"/>
  <c r="E12" i="1"/>
  <c r="E8" i="1"/>
  <c r="E7" i="1"/>
  <c r="E9" i="1"/>
  <c r="E10" i="1"/>
  <c r="E11" i="1"/>
  <c r="E15" i="1"/>
  <c r="E16" i="1"/>
  <c r="E17" i="1"/>
  <c r="E18" i="1"/>
  <c r="E6" i="1"/>
</calcChain>
</file>

<file path=xl/sharedStrings.xml><?xml version="1.0" encoding="utf-8"?>
<sst xmlns="http://schemas.openxmlformats.org/spreadsheetml/2006/main" count="140" uniqueCount="97">
  <si>
    <t>CRIADO POR:</t>
  </si>
  <si>
    <t>1. Dados do Titular</t>
  </si>
  <si>
    <t>Fernando Henrique</t>
  </si>
  <si>
    <t>Preencha os dados da sua Pessoa Titular</t>
  </si>
  <si>
    <t>DADOS DO TITTULAR</t>
  </si>
  <si>
    <t>RESPOSTAS</t>
  </si>
  <si>
    <t>RESPOSTAS FORMATADAS</t>
  </si>
  <si>
    <t>NOME</t>
  </si>
  <si>
    <t>Carlos Eduardo</t>
  </si>
  <si>
    <t>Sim</t>
  </si>
  <si>
    <t>CPF</t>
  </si>
  <si>
    <t>TITULO DE ELEITOR</t>
  </si>
  <si>
    <t>CÔJUGE</t>
  </si>
  <si>
    <t>Mariana</t>
  </si>
  <si>
    <t>RUA</t>
  </si>
  <si>
    <t>Avenida Paulista N° 330</t>
  </si>
  <si>
    <t>RUA ABREVIADA</t>
  </si>
  <si>
    <t>Av. Paulista N° 330</t>
  </si>
  <si>
    <t>CEP</t>
  </si>
  <si>
    <t>TELEFONE</t>
  </si>
  <si>
    <t>CELULAR</t>
  </si>
  <si>
    <t>E-MAIL</t>
  </si>
  <si>
    <t>carlos.silva@email.com</t>
  </si>
  <si>
    <t>HOUVE ALTERAÇÕES DA ENTREGA ANTERIOR</t>
  </si>
  <si>
    <t>DEPEDENTE CÔNJUGE</t>
  </si>
  <si>
    <t>Não</t>
  </si>
  <si>
    <t>LINKEDIN</t>
  </si>
  <si>
    <t>RESIDENTE NO EXTERIOR</t>
  </si>
  <si>
    <t>PRÓXIMO -&gt;</t>
  </si>
  <si>
    <t>2. Informes dos Dados Bancários</t>
  </si>
  <si>
    <t>Preencha os dados de Cada um do seus Bancos</t>
  </si>
  <si>
    <t>TOTAL:</t>
  </si>
  <si>
    <t>1° Banco</t>
  </si>
  <si>
    <t>DADOS DOS INFORMES</t>
  </si>
  <si>
    <t>BANCO</t>
  </si>
  <si>
    <t>735 - Banco Neon</t>
  </si>
  <si>
    <t>VALOR ATUAL</t>
  </si>
  <si>
    <t>ANEXO 🔗</t>
  </si>
  <si>
    <t>comprovante_neon.pdf</t>
  </si>
  <si>
    <t>72 - Banco Rural Mais</t>
  </si>
  <si>
    <t>comprovante_nerural_mais.pdf</t>
  </si>
  <si>
    <t>77 - Banco Inter</t>
  </si>
  <si>
    <t>comprovante_.inter.pdf</t>
  </si>
  <si>
    <t>&lt;- ANTERIOR</t>
  </si>
  <si>
    <t>3. Notas Bancárias ou extrato de Olherites</t>
  </si>
  <si>
    <t>DATA</t>
  </si>
  <si>
    <t>TIPO</t>
  </si>
  <si>
    <t>VALOR</t>
  </si>
  <si>
    <t>FREELANCER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</si>
  <si>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</si>
  <si>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</si>
  <si>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</si>
  <si>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</si>
  <si>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</si>
  <si>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</si>
  <si>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</si>
  <si>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</si>
  <si>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</si>
  <si>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</si>
  <si>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</si>
  <si>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</si>
  <si>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</si>
  <si>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</si>
  <si>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</si>
  <si>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</si>
  <si>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</si>
  <si>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</si>
  <si>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</si>
  <si>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</si>
  <si>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</si>
  <si>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</si>
  <si>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</si>
  <si>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</si>
  <si>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</si>
  <si>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</si>
  <si>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</si>
  <si>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</si>
  <si>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</si>
  <si>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</si>
  <si>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</si>
  <si>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</si>
  <si>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</si>
  <si>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</si>
  <si>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</si>
  <si>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</si>
  <si>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</si>
  <si>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</si>
  <si>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</si>
  <si>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</si>
  <si>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</si>
  <si>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734 - Banco Gerdau</t>
  </si>
  <si>
    <t>74 - Banco J. Safra</t>
  </si>
  <si>
    <t>746 - Banco Modal</t>
  </si>
  <si>
    <t>748 - Banco Cooperativo Sicredi S.A.</t>
  </si>
  <si>
    <t>749 - Banco Simples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</si>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</sst>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>
    <font>
      <sz val="11"/>
      <color theme="1"/>
      <name val="Calibri"/>
      <family val="2"/>
      <scheme val="minor"/>
    </font>
    <font>
      <sz val="20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rgb="FFFFFFFF"/>
      <name val="Calibri"/>
      <scheme val="minor"/>
    </font>
    <font>
      <b/>
      <sz val="9"/>
      <color theme="2" tint="-0.499984740745262"/>
      <name val="Segoe UI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ptos Narrow"/>
      <charset val="1"/>
    </font>
    <font>
      <sz val="11"/>
      <color theme="1" tint="0.499984740745262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scheme val="minor"/>
    </font>
    <font>
      <sz val="11"/>
      <color rgb="FF1F1F1F"/>
      <name val="Calibri"/>
      <charset val="1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D1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7030A0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7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7"/>
      </top>
      <bottom style="thin">
        <color theme="7"/>
      </bottom>
      <diagonal/>
    </border>
    <border>
      <left/>
      <right style="thin">
        <color theme="1" tint="0.499984740745262"/>
      </right>
      <top style="thin">
        <color theme="7"/>
      </top>
      <bottom style="thin">
        <color rgb="FF000000"/>
      </bottom>
      <diagonal/>
    </border>
    <border>
      <left style="thin">
        <color theme="1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0" xfId="0" applyFont="1" applyFill="1"/>
    <xf numFmtId="0" fontId="0" fillId="3" borderId="0" xfId="0" applyFill="1"/>
    <xf numFmtId="0" fontId="1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4" fillId="0" borderId="3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3" fillId="2" borderId="6" xfId="0" applyFont="1" applyFill="1" applyBorder="1"/>
    <xf numFmtId="0" fontId="0" fillId="4" borderId="7" xfId="0" applyFill="1" applyBorder="1" applyAlignment="1">
      <alignment horizontal="left"/>
    </xf>
    <xf numFmtId="0" fontId="0" fillId="4" borderId="7" xfId="0" applyFill="1" applyBorder="1"/>
    <xf numFmtId="0" fontId="0" fillId="4" borderId="8" xfId="0" applyFill="1" applyBorder="1"/>
    <xf numFmtId="0" fontId="0" fillId="2" borderId="0" xfId="0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49" fontId="4" fillId="0" borderId="9" xfId="0" applyNumberFormat="1" applyFont="1" applyBorder="1" applyAlignment="1">
      <alignment horizontal="right"/>
    </xf>
    <xf numFmtId="0" fontId="0" fillId="4" borderId="8" xfId="0" applyFill="1" applyBorder="1" applyAlignment="1">
      <alignment horizontal="left"/>
    </xf>
    <xf numFmtId="164" fontId="0" fillId="4" borderId="7" xfId="0" applyNumberFormat="1" applyFill="1" applyBorder="1" applyAlignment="1">
      <alignment horizontal="left"/>
    </xf>
    <xf numFmtId="0" fontId="10" fillId="5" borderId="0" xfId="0" applyFont="1" applyFill="1"/>
    <xf numFmtId="0" fontId="0" fillId="5" borderId="0" xfId="0" applyFill="1"/>
    <xf numFmtId="164" fontId="11" fillId="4" borderId="0" xfId="0" applyNumberFormat="1" applyFont="1" applyFill="1" applyAlignment="1">
      <alignment horizontal="center"/>
    </xf>
    <xf numFmtId="14" fontId="12" fillId="0" borderId="0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13" fillId="0" borderId="0" xfId="0" applyNumberFormat="1" applyFont="1" applyAlignment="1">
      <alignment horizontal="center"/>
    </xf>
    <xf numFmtId="0" fontId="14" fillId="2" borderId="0" xfId="1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5">
    <dxf>
      <numFmt numFmtId="2" formatCode="0.00"/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fill>
        <patternFill patternType="solid">
          <fgColor indexed="64"/>
          <bgColor theme="5" tint="0.59999389629810485"/>
        </patternFill>
      </fill>
      <alignment horizontal="center"/>
    </dxf>
  </dxfs>
  <tableStyles count="0" defaultTableStyle="TableStyleMedium2" defaultPivotStyle="PivotStyleMedium9"/>
  <colors>
    <mruColors>
      <color rgb="FFE40FF7"/>
      <color rgb="FFFFD1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CB011-8F0C-47A8-B570-5EE90CD83108}" name="Tabela1" displayName="Tabela1" ref="C5:E25" totalsRowShown="0" headerRowDxfId="4" dataDxfId="3">
  <autoFilter ref="C5:E25" xr:uid="{08ACB011-8F0C-47A8-B570-5EE90CD83108}"/>
  <tableColumns count="3">
    <tableColumn id="1" xr3:uid="{DC1A52C9-A871-4BFE-A46D-6B02886B298F}" name="DATA" dataDxfId="2">
      <calculatedColumnFormula>COUNTBLANK(C6:C25)</calculatedColumnFormula>
    </tableColumn>
    <tableColumn id="2" xr3:uid="{98F37B65-4BDB-4EFE-AA23-2E253723F5DA}" name="TIPO" dataDxfId="1"/>
    <tableColumn id="3" xr3:uid="{5EEFD972-F3A3-4263-A113-F4F2F83C95E4}" name="VALOR" dataDxfId="0">
      <calculatedColumnFormula>1000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fernando-henrique-93569532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fernando-henrique-935695323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linkedin.com/in/fernando-henrique-9356953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0"/>
  <sheetViews>
    <sheetView tabSelected="1" workbookViewId="0">
      <selection activeCell="A18" sqref="A18"/>
    </sheetView>
  </sheetViews>
  <sheetFormatPr defaultColWidth="0" defaultRowHeight="15"/>
  <cols>
    <col min="1" max="1" width="18" style="14" customWidth="1"/>
    <col min="2" max="2" width="9.140625" customWidth="1"/>
    <col min="3" max="3" width="41.28515625" bestFit="1" customWidth="1"/>
    <col min="4" max="4" width="27.85546875" customWidth="1"/>
    <col min="5" max="5" width="24.42578125" bestFit="1" customWidth="1"/>
    <col min="6" max="6" width="9.140625" customWidth="1"/>
  </cols>
  <sheetData>
    <row r="2" spans="1:22" ht="26.25">
      <c r="A2" s="16" t="s">
        <v>0</v>
      </c>
      <c r="C2" s="3" t="s">
        <v>1</v>
      </c>
      <c r="D2" s="4"/>
      <c r="E2" s="4"/>
    </row>
    <row r="3" spans="1:22">
      <c r="A3" s="15" t="s">
        <v>2</v>
      </c>
      <c r="C3" s="1" t="s">
        <v>3</v>
      </c>
      <c r="D3" s="2"/>
      <c r="E3" s="2"/>
    </row>
    <row r="5" spans="1:22">
      <c r="C5" s="5" t="s">
        <v>4</v>
      </c>
      <c r="D5" s="10" t="s">
        <v>5</v>
      </c>
      <c r="E5" s="5" t="s">
        <v>6</v>
      </c>
    </row>
    <row r="6" spans="1:22">
      <c r="C6" s="6" t="s">
        <v>7</v>
      </c>
      <c r="D6" s="11" t="s">
        <v>8</v>
      </c>
      <c r="E6" s="9" t="str">
        <f>D6</f>
        <v>Carlos Eduardo</v>
      </c>
      <c r="V6" t="s">
        <v>9</v>
      </c>
    </row>
    <row r="7" spans="1:22">
      <c r="C7" s="6" t="s">
        <v>10</v>
      </c>
      <c r="D7" s="11">
        <v>12345678901</v>
      </c>
      <c r="E7" s="9" t="str">
        <f>TEXT(D7,"000\.000\.000-00")</f>
        <v>123.456.789-01</v>
      </c>
    </row>
    <row r="8" spans="1:22">
      <c r="C8" s="6" t="s">
        <v>11</v>
      </c>
      <c r="D8" s="11">
        <v>123456789012</v>
      </c>
      <c r="E8" s="9" t="str">
        <f>TEXT(D8,"0000"&amp;" "&amp;"0000"&amp;" "&amp;"0000")</f>
        <v>1234 5678 9012</v>
      </c>
    </row>
    <row r="9" spans="1:22">
      <c r="C9" s="6" t="s">
        <v>12</v>
      </c>
      <c r="D9" s="11" t="s">
        <v>13</v>
      </c>
      <c r="E9" s="9" t="str">
        <f t="shared" ref="E9:E18" si="0">D9</f>
        <v>Mariana</v>
      </c>
    </row>
    <row r="10" spans="1:22">
      <c r="C10" s="6" t="s">
        <v>14</v>
      </c>
      <c r="D10" s="11" t="s">
        <v>15</v>
      </c>
      <c r="E10" s="9" t="str">
        <f t="shared" si="0"/>
        <v>Avenida Paulista N° 330</v>
      </c>
    </row>
    <row r="11" spans="1:22">
      <c r="C11" s="6" t="s">
        <v>16</v>
      </c>
      <c r="D11" s="11" t="s">
        <v>17</v>
      </c>
      <c r="E11" s="9" t="str">
        <f t="shared" si="0"/>
        <v>Av. Paulista N° 330</v>
      </c>
    </row>
    <row r="12" spans="1:22">
      <c r="C12" s="6" t="s">
        <v>18</v>
      </c>
      <c r="D12" s="11">
        <v>1310100</v>
      </c>
      <c r="E12" s="9" t="str">
        <f>TEXT(D12,"00000-000")</f>
        <v>01310-100</v>
      </c>
    </row>
    <row r="13" spans="1:22">
      <c r="C13" s="6" t="s">
        <v>19</v>
      </c>
      <c r="D13" s="11">
        <v>1132511000</v>
      </c>
      <c r="E13" s="9" t="str">
        <f>TEXT(D13,"(00) 00000-0000")</f>
        <v>(01) 13251-1000</v>
      </c>
    </row>
    <row r="14" spans="1:22">
      <c r="C14" s="6" t="s">
        <v>20</v>
      </c>
      <c r="D14" s="11">
        <v>11987654321</v>
      </c>
      <c r="E14" s="9" t="str">
        <f>TEXT(D14,"(00) 00000-0000")</f>
        <v>(11) 98765-4321</v>
      </c>
    </row>
    <row r="15" spans="1:22">
      <c r="C15" s="6" t="s">
        <v>21</v>
      </c>
      <c r="D15" s="11" t="s">
        <v>22</v>
      </c>
      <c r="E15" s="9" t="str">
        <f t="shared" si="0"/>
        <v>carlos.silva@email.com</v>
      </c>
    </row>
    <row r="16" spans="1:22">
      <c r="C16" s="6" t="s">
        <v>23</v>
      </c>
      <c r="D16" s="12" t="s">
        <v>9</v>
      </c>
      <c r="E16" s="9" t="str">
        <f t="shared" si="0"/>
        <v>Sim</v>
      </c>
    </row>
    <row r="17" spans="1:5">
      <c r="C17" s="6" t="s">
        <v>24</v>
      </c>
      <c r="D17" s="12" t="s">
        <v>25</v>
      </c>
      <c r="E17" s="9" t="str">
        <f t="shared" si="0"/>
        <v>Não</v>
      </c>
    </row>
    <row r="18" spans="1:5">
      <c r="A18" s="29" t="s">
        <v>26</v>
      </c>
      <c r="C18" s="7" t="s">
        <v>27</v>
      </c>
      <c r="D18" s="13" t="s">
        <v>9</v>
      </c>
      <c r="E18" s="8" t="str">
        <f t="shared" si="0"/>
        <v>Sim</v>
      </c>
    </row>
    <row r="20" spans="1:5">
      <c r="E20" s="29" t="s">
        <v>28</v>
      </c>
    </row>
  </sheetData>
  <dataValidations count="1">
    <dataValidation type="list" allowBlank="1" showInputMessage="1" showErrorMessage="1" sqref="D16:D18" xr:uid="{CC6B7C69-3B28-4D78-B98B-FDB9AD5BF081}">
      <formula1>"Sim,Não"</formula1>
    </dataValidation>
  </dataValidations>
  <hyperlinks>
    <hyperlink ref="E20" location="tbl_informes" display="PRÓXIMO -&gt;" xr:uid="{2B34D735-EDBC-450A-9813-EE2DDCE5F842}"/>
    <hyperlink ref="A18" r:id="rId1" xr:uid="{F573ACFF-B01C-4E22-ADF1-BAB97250F0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F081-8D7D-4413-8B88-D682622CFCFB}">
  <dimension ref="A2:V26"/>
  <sheetViews>
    <sheetView workbookViewId="0">
      <selection activeCell="A19" sqref="A19"/>
    </sheetView>
  </sheetViews>
  <sheetFormatPr defaultColWidth="0" defaultRowHeight="15"/>
  <cols>
    <col min="1" max="1" width="18" style="14" customWidth="1"/>
    <col min="2" max="2" width="9.140625" customWidth="1"/>
    <col min="3" max="3" width="41.28515625" bestFit="1" customWidth="1"/>
    <col min="4" max="4" width="32.42578125" bestFit="1" customWidth="1"/>
    <col min="5" max="5" width="24.42578125" bestFit="1" customWidth="1"/>
  </cols>
  <sheetData>
    <row r="2" spans="1:22" ht="26.25">
      <c r="A2" s="16" t="s">
        <v>0</v>
      </c>
      <c r="C2" s="3" t="s">
        <v>29</v>
      </c>
      <c r="D2" s="4"/>
      <c r="F2" s="4"/>
    </row>
    <row r="3" spans="1:22">
      <c r="A3" s="15" t="s">
        <v>2</v>
      </c>
      <c r="C3" s="1" t="s">
        <v>30</v>
      </c>
      <c r="D3" s="2"/>
      <c r="F3" s="4"/>
    </row>
    <row r="4" spans="1:22">
      <c r="F4" s="4"/>
    </row>
    <row r="5" spans="1:22">
      <c r="C5" s="22" t="s">
        <v>31</v>
      </c>
      <c r="D5" s="23"/>
    </row>
    <row r="6" spans="1:22">
      <c r="C6" s="24">
        <f>SUM(D11,D17,D23)</f>
        <v>9005405</v>
      </c>
      <c r="D6" s="24"/>
    </row>
    <row r="7" spans="1:22">
      <c r="V7" t="s">
        <v>9</v>
      </c>
    </row>
    <row r="8" spans="1:22">
      <c r="C8" s="18" t="s">
        <v>32</v>
      </c>
    </row>
    <row r="9" spans="1:22">
      <c r="C9" s="5" t="s">
        <v>33</v>
      </c>
      <c r="D9" s="10" t="s">
        <v>5</v>
      </c>
    </row>
    <row r="10" spans="1:22">
      <c r="C10" s="6" t="s">
        <v>34</v>
      </c>
      <c r="D10" s="11" t="s">
        <v>35</v>
      </c>
    </row>
    <row r="11" spans="1:22">
      <c r="C11" s="6" t="s">
        <v>36</v>
      </c>
      <c r="D11" s="21">
        <v>5000000</v>
      </c>
    </row>
    <row r="12" spans="1:22">
      <c r="C12" s="19" t="s">
        <v>37</v>
      </c>
      <c r="D12" s="20" t="s">
        <v>38</v>
      </c>
    </row>
    <row r="14" spans="1:22">
      <c r="C14" s="18" t="s">
        <v>32</v>
      </c>
    </row>
    <row r="15" spans="1:22">
      <c r="C15" s="5"/>
      <c r="D15" s="10"/>
    </row>
    <row r="16" spans="1:22">
      <c r="C16" s="6" t="s">
        <v>34</v>
      </c>
      <c r="D16" s="11" t="s">
        <v>39</v>
      </c>
    </row>
    <row r="17" spans="1:4">
      <c r="C17" s="6" t="s">
        <v>36</v>
      </c>
      <c r="D17" s="21">
        <v>2750000</v>
      </c>
    </row>
    <row r="18" spans="1:4">
      <c r="C18" s="19" t="s">
        <v>37</v>
      </c>
      <c r="D18" s="20" t="s">
        <v>40</v>
      </c>
    </row>
    <row r="19" spans="1:4">
      <c r="A19" s="29" t="s">
        <v>26</v>
      </c>
    </row>
    <row r="20" spans="1:4">
      <c r="C20" s="18" t="s">
        <v>32</v>
      </c>
    </row>
    <row r="21" spans="1:4">
      <c r="C21" s="5"/>
      <c r="D21" s="10"/>
    </row>
    <row r="22" spans="1:4">
      <c r="C22" s="6" t="s">
        <v>34</v>
      </c>
      <c r="D22" s="11" t="s">
        <v>41</v>
      </c>
    </row>
    <row r="23" spans="1:4">
      <c r="C23" s="6" t="s">
        <v>36</v>
      </c>
      <c r="D23" s="21">
        <v>1255405</v>
      </c>
    </row>
    <row r="24" spans="1:4">
      <c r="C24" s="19" t="s">
        <v>37</v>
      </c>
      <c r="D24" s="20" t="s">
        <v>42</v>
      </c>
    </row>
    <row r="26" spans="1:4">
      <c r="C26" s="29" t="s">
        <v>43</v>
      </c>
      <c r="D26" s="29" t="s">
        <v>28</v>
      </c>
    </row>
  </sheetData>
  <mergeCells count="1">
    <mergeCell ref="C6:D6"/>
  </mergeCells>
  <dataValidations count="1">
    <dataValidation type="list" allowBlank="1" showInputMessage="1" showErrorMessage="1" sqref="D19" xr:uid="{D07CA9ED-84B2-4139-B705-43C49B0874DD}">
      <formula1>"Sim,Não"</formula1>
    </dataValidation>
  </dataValidations>
  <hyperlinks>
    <hyperlink ref="D26" location="tbl_notas" display="PRÓXIMO -&gt;" xr:uid="{BBD283A8-CEDE-4E6F-B2ED-03292350E008}"/>
    <hyperlink ref="C26" location="tbl_titular" display="&lt;- ANTERIOR" xr:uid="{A5CA4E85-4E03-474A-9825-D648406CD4A2}"/>
    <hyperlink ref="A19" r:id="rId1" xr:uid="{D249CC9B-C07F-4842-8517-EB8EC4E265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D48641-7CBD-4448-91F8-CE5F8021B632}">
          <x14:formula1>
            <xm:f>Bancos_Apoio!$A$2:$A$51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BEEE-F2C0-43FA-88CA-4112CF2C4649}">
  <dimension ref="A2:V27"/>
  <sheetViews>
    <sheetView topLeftCell="A7" workbookViewId="0">
      <selection activeCell="A19" sqref="A19"/>
    </sheetView>
  </sheetViews>
  <sheetFormatPr defaultColWidth="0" defaultRowHeight="15"/>
  <cols>
    <col min="1" max="1" width="18" style="14" customWidth="1"/>
    <col min="2" max="2" width="9.140625" customWidth="1"/>
    <col min="3" max="3" width="41.28515625" bestFit="1" customWidth="1"/>
    <col min="4" max="4" width="32.42578125" bestFit="1" customWidth="1"/>
    <col min="5" max="5" width="24.42578125" bestFit="1" customWidth="1"/>
    <col min="6" max="6" width="9.140625" customWidth="1"/>
  </cols>
  <sheetData>
    <row r="2" spans="1:22" ht="26.25">
      <c r="A2" s="16" t="s">
        <v>0</v>
      </c>
      <c r="C2" s="3" t="s">
        <v>44</v>
      </c>
      <c r="D2" s="4"/>
      <c r="E2" s="4"/>
    </row>
    <row r="3" spans="1:22">
      <c r="A3" s="15" t="s">
        <v>2</v>
      </c>
      <c r="C3" s="1"/>
      <c r="D3" s="2"/>
      <c r="E3" s="2"/>
    </row>
    <row r="5" spans="1:22">
      <c r="C5" s="30" t="s">
        <v>45</v>
      </c>
      <c r="D5" s="30" t="s">
        <v>46</v>
      </c>
      <c r="E5" s="30" t="s">
        <v>47</v>
      </c>
    </row>
    <row r="6" spans="1:22">
      <c r="C6" s="25">
        <v>44270</v>
      </c>
      <c r="D6" s="26" t="s">
        <v>48</v>
      </c>
      <c r="E6" s="27">
        <f>1000</f>
        <v>1000</v>
      </c>
    </row>
    <row r="7" spans="1:22">
      <c r="C7" s="25">
        <v>44399</v>
      </c>
      <c r="D7" s="26" t="s">
        <v>48</v>
      </c>
      <c r="E7" s="27">
        <f>1000</f>
        <v>1000</v>
      </c>
      <c r="V7" t="s">
        <v>9</v>
      </c>
    </row>
    <row r="8" spans="1:22">
      <c r="C8" s="25">
        <v>44508</v>
      </c>
      <c r="D8" s="26" t="s">
        <v>48</v>
      </c>
      <c r="E8" s="27">
        <f>1000</f>
        <v>1000</v>
      </c>
    </row>
    <row r="9" spans="1:22">
      <c r="C9" s="25">
        <v>44565</v>
      </c>
      <c r="D9" s="26" t="s">
        <v>48</v>
      </c>
      <c r="E9" s="27">
        <f>1000</f>
        <v>1000</v>
      </c>
    </row>
    <row r="10" spans="1:22">
      <c r="C10" s="25">
        <v>44700</v>
      </c>
      <c r="D10" s="26" t="s">
        <v>48</v>
      </c>
      <c r="E10" s="27">
        <f>1000</f>
        <v>1000</v>
      </c>
    </row>
    <row r="11" spans="1:22">
      <c r="C11" s="25">
        <v>44816</v>
      </c>
      <c r="D11" s="26" t="s">
        <v>48</v>
      </c>
      <c r="E11" s="27">
        <f>1000</f>
        <v>1000</v>
      </c>
    </row>
    <row r="12" spans="1:22">
      <c r="C12" s="25">
        <v>44864</v>
      </c>
      <c r="D12" s="26" t="s">
        <v>48</v>
      </c>
      <c r="E12" s="27">
        <f>1000</f>
        <v>1000</v>
      </c>
    </row>
    <row r="13" spans="1:22">
      <c r="C13" s="25">
        <v>44960</v>
      </c>
      <c r="D13" s="26" t="s">
        <v>48</v>
      </c>
      <c r="E13" s="27">
        <f>1000</f>
        <v>1000</v>
      </c>
    </row>
    <row r="14" spans="1:22">
      <c r="C14" s="25">
        <v>45094</v>
      </c>
      <c r="D14" s="26" t="s">
        <v>48</v>
      </c>
      <c r="E14" s="27">
        <f>1000</f>
        <v>1000</v>
      </c>
    </row>
    <row r="15" spans="1:22">
      <c r="C15" s="25">
        <v>45163</v>
      </c>
      <c r="D15" s="26" t="s">
        <v>48</v>
      </c>
      <c r="E15" s="27">
        <f>1000</f>
        <v>1000</v>
      </c>
    </row>
    <row r="16" spans="1:22">
      <c r="C16" s="25">
        <v>45271</v>
      </c>
      <c r="D16" s="26" t="s">
        <v>48</v>
      </c>
      <c r="E16" s="27">
        <f>1000</f>
        <v>1000</v>
      </c>
    </row>
    <row r="17" spans="1:5">
      <c r="C17" s="25">
        <v>45391</v>
      </c>
      <c r="D17" s="26" t="s">
        <v>48</v>
      </c>
      <c r="E17" s="27">
        <f>1000</f>
        <v>1000</v>
      </c>
    </row>
    <row r="18" spans="1:5">
      <c r="C18" s="25">
        <v>45500</v>
      </c>
      <c r="D18" s="26" t="s">
        <v>48</v>
      </c>
      <c r="E18" s="27">
        <f>1000</f>
        <v>1000</v>
      </c>
    </row>
    <row r="19" spans="1:5">
      <c r="A19" s="29" t="s">
        <v>26</v>
      </c>
      <c r="C19" s="25">
        <v>45579</v>
      </c>
      <c r="D19" s="26" t="s">
        <v>48</v>
      </c>
      <c r="E19" s="27">
        <f>1000</f>
        <v>1000</v>
      </c>
    </row>
    <row r="20" spans="1:5">
      <c r="C20" s="25">
        <v>45659</v>
      </c>
      <c r="D20" s="26" t="s">
        <v>48</v>
      </c>
      <c r="E20" s="27">
        <f>1000</f>
        <v>1000</v>
      </c>
    </row>
    <row r="21" spans="1:5">
      <c r="C21" s="25">
        <v>45795</v>
      </c>
      <c r="D21" s="26" t="s">
        <v>48</v>
      </c>
      <c r="E21" s="27">
        <f>1000</f>
        <v>1000</v>
      </c>
    </row>
    <row r="22" spans="1:5">
      <c r="C22" s="25">
        <v>45929</v>
      </c>
      <c r="D22" s="26" t="s">
        <v>48</v>
      </c>
      <c r="E22" s="27">
        <f>1000</f>
        <v>1000</v>
      </c>
    </row>
    <row r="23" spans="1:5">
      <c r="C23" s="25">
        <v>45967</v>
      </c>
      <c r="D23" s="26" t="s">
        <v>48</v>
      </c>
      <c r="E23" s="27">
        <f>1000</f>
        <v>1000</v>
      </c>
    </row>
    <row r="24" spans="1:5">
      <c r="C24" s="25">
        <v>46063</v>
      </c>
      <c r="D24" s="26" t="s">
        <v>48</v>
      </c>
      <c r="E24" s="27">
        <f>1000</f>
        <v>1000</v>
      </c>
    </row>
    <row r="25" spans="1:5">
      <c r="C25" s="28">
        <v>45391</v>
      </c>
      <c r="D25" s="26" t="s">
        <v>48</v>
      </c>
      <c r="E25" s="27">
        <f>1000</f>
        <v>1000</v>
      </c>
    </row>
    <row r="27" spans="1:5">
      <c r="C27" s="29" t="s">
        <v>43</v>
      </c>
    </row>
  </sheetData>
  <dataValidations count="1">
    <dataValidation type="list" allowBlank="1" showInputMessage="1" showErrorMessage="1" sqref="D6:D25" xr:uid="{1C3F0133-D8F3-45CF-9B7E-1939D840FD90}">
      <formula1>"OLHERITE,FREELANCER"</formula1>
    </dataValidation>
  </dataValidations>
  <hyperlinks>
    <hyperlink ref="A19" r:id="rId1" xr:uid="{DA1EF72C-DE4E-404C-AEB2-0BACEEDF7BE9}"/>
    <hyperlink ref="C27" location="tbl_informes" display="&lt;- ANTERIOR" xr:uid="{DCFE1119-4C19-4CD0-9F4D-F063C766A756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FE1E-D516-46C2-B88A-23DA85E74757}">
  <dimension ref="A1:A51"/>
  <sheetViews>
    <sheetView workbookViewId="0"/>
  </sheetViews>
  <sheetFormatPr defaultRowHeight="15"/>
  <sheetData>
    <row r="1" spans="1:1">
      <c r="A1" s="17" t="s">
        <v>49</v>
      </c>
    </row>
    <row r="2" spans="1:1">
      <c r="A2" s="17" t="s">
        <v>50</v>
      </c>
    </row>
    <row r="3" spans="1:1">
      <c r="A3" s="17" t="s">
        <v>51</v>
      </c>
    </row>
    <row r="4" spans="1:1">
      <c r="A4" s="17" t="s">
        <v>52</v>
      </c>
    </row>
    <row r="5" spans="1:1">
      <c r="A5" s="17" t="s">
        <v>53</v>
      </c>
    </row>
    <row r="6" spans="1:1">
      <c r="A6" s="17" t="s">
        <v>54</v>
      </c>
    </row>
    <row r="7" spans="1:1">
      <c r="A7" s="17" t="s">
        <v>55</v>
      </c>
    </row>
    <row r="8" spans="1:1">
      <c r="A8" s="17" t="s">
        <v>56</v>
      </c>
    </row>
    <row r="9" spans="1:1">
      <c r="A9" s="17" t="s">
        <v>57</v>
      </c>
    </row>
    <row r="10" spans="1:1">
      <c r="A10" s="17" t="s">
        <v>58</v>
      </c>
    </row>
    <row r="11" spans="1:1">
      <c r="A11" s="17" t="s">
        <v>59</v>
      </c>
    </row>
    <row r="12" spans="1:1">
      <c r="A12" s="17" t="s">
        <v>60</v>
      </c>
    </row>
    <row r="13" spans="1:1">
      <c r="A13" s="17" t="s">
        <v>61</v>
      </c>
    </row>
    <row r="14" spans="1:1">
      <c r="A14" s="17" t="s">
        <v>62</v>
      </c>
    </row>
    <row r="15" spans="1:1">
      <c r="A15" s="17" t="s">
        <v>63</v>
      </c>
    </row>
    <row r="16" spans="1:1">
      <c r="A16" s="17" t="s">
        <v>64</v>
      </c>
    </row>
    <row r="17" spans="1:1">
      <c r="A17" s="17" t="s">
        <v>65</v>
      </c>
    </row>
    <row r="18" spans="1:1">
      <c r="A18" s="17" t="s">
        <v>66</v>
      </c>
    </row>
    <row r="19" spans="1:1">
      <c r="A19" s="17" t="s">
        <v>67</v>
      </c>
    </row>
    <row r="20" spans="1:1">
      <c r="A20" s="17" t="s">
        <v>68</v>
      </c>
    </row>
    <row r="21" spans="1:1">
      <c r="A21" s="17" t="s">
        <v>69</v>
      </c>
    </row>
    <row r="22" spans="1:1">
      <c r="A22" s="17" t="s">
        <v>70</v>
      </c>
    </row>
    <row r="23" spans="1:1">
      <c r="A23" s="17" t="s">
        <v>71</v>
      </c>
    </row>
    <row r="24" spans="1:1">
      <c r="A24" s="17" t="s">
        <v>72</v>
      </c>
    </row>
    <row r="25" spans="1:1">
      <c r="A25" s="17" t="s">
        <v>73</v>
      </c>
    </row>
    <row r="26" spans="1:1">
      <c r="A26" s="17" t="s">
        <v>74</v>
      </c>
    </row>
    <row r="27" spans="1:1">
      <c r="A27" s="17" t="s">
        <v>75</v>
      </c>
    </row>
    <row r="28" spans="1:1">
      <c r="A28" s="17" t="s">
        <v>76</v>
      </c>
    </row>
    <row r="29" spans="1:1">
      <c r="A29" s="17" t="s">
        <v>77</v>
      </c>
    </row>
    <row r="30" spans="1:1">
      <c r="A30" s="17" t="s">
        <v>78</v>
      </c>
    </row>
    <row r="31" spans="1:1">
      <c r="A31" s="17" t="s">
        <v>79</v>
      </c>
    </row>
    <row r="32" spans="1:1">
      <c r="A32" s="17" t="s">
        <v>80</v>
      </c>
    </row>
    <row r="33" spans="1:1">
      <c r="A33" s="17" t="s">
        <v>81</v>
      </c>
    </row>
    <row r="34" spans="1:1">
      <c r="A34" s="17" t="s">
        <v>82</v>
      </c>
    </row>
    <row r="35" spans="1:1">
      <c r="A35" s="17" t="s">
        <v>83</v>
      </c>
    </row>
    <row r="36" spans="1:1">
      <c r="A36" s="17" t="s">
        <v>84</v>
      </c>
    </row>
    <row r="37" spans="1:1">
      <c r="A37" s="17" t="s">
        <v>85</v>
      </c>
    </row>
    <row r="38" spans="1:1">
      <c r="A38" s="17" t="s">
        <v>86</v>
      </c>
    </row>
    <row r="39" spans="1:1">
      <c r="A39" s="17" t="s">
        <v>87</v>
      </c>
    </row>
    <row r="40" spans="1:1">
      <c r="A40" s="17" t="s">
        <v>88</v>
      </c>
    </row>
    <row r="41" spans="1:1">
      <c r="A41" s="17" t="s">
        <v>89</v>
      </c>
    </row>
    <row r="42" spans="1:1">
      <c r="A42" s="17" t="s">
        <v>39</v>
      </c>
    </row>
    <row r="43" spans="1:1">
      <c r="A43" s="17" t="s">
        <v>90</v>
      </c>
    </row>
    <row r="44" spans="1:1">
      <c r="A44" s="17" t="s">
        <v>35</v>
      </c>
    </row>
    <row r="45" spans="1:1">
      <c r="A45" s="17" t="s">
        <v>91</v>
      </c>
    </row>
    <row r="46" spans="1:1">
      <c r="A46" s="17" t="s">
        <v>92</v>
      </c>
    </row>
    <row r="47" spans="1:1">
      <c r="A47" s="17" t="s">
        <v>93</v>
      </c>
    </row>
    <row r="48" spans="1:1">
      <c r="A48" s="17" t="s">
        <v>94</v>
      </c>
    </row>
    <row r="49" spans="1:1">
      <c r="A49" s="17" t="s">
        <v>41</v>
      </c>
    </row>
    <row r="50" spans="1:1">
      <c r="A50" s="17" t="s">
        <v>95</v>
      </c>
    </row>
    <row r="51" spans="1:1">
      <c r="A51" s="1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Henrique</cp:lastModifiedBy>
  <cp:revision/>
  <dcterms:created xsi:type="dcterms:W3CDTF">2026-10-06T17:38:38Z</dcterms:created>
  <dcterms:modified xsi:type="dcterms:W3CDTF">2026-10-06T19:16:07Z</dcterms:modified>
  <cp:category/>
  <cp:contentStatus/>
</cp:coreProperties>
</file>